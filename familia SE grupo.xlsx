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ames\"/>
    </mc:Choice>
  </mc:AlternateContent>
  <xr:revisionPtr revIDLastSave="0" documentId="8_{8D571E13-2D80-4AD7-9985-3BCDF7B92A95}" xr6:coauthVersionLast="47" xr6:coauthVersionMax="47" xr10:uidLastSave="{00000000-0000-0000-0000-000000000000}"/>
  <bookViews>
    <workbookView xWindow="-120" yWindow="-120" windowWidth="29040" windowHeight="15720" xr2:uid="{C6170A7E-626D-47BC-9A08-B81C3323637C}"/>
  </bookViews>
  <sheets>
    <sheet name="Planilha1" sheetId="1" r:id="rId1"/>
  </sheets>
  <definedNames>
    <definedName name="_xlnm._FilterDatabase" localSheetId="0" hidden="1">Planilha1!$B$1:$J$11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" i="1" l="1"/>
  <c r="A61" i="1"/>
  <c r="A64" i="1"/>
  <c r="A58" i="1"/>
  <c r="A55" i="1"/>
  <c r="A52" i="1"/>
  <c r="A49" i="1"/>
  <c r="A43" i="1"/>
  <c r="A40" i="1"/>
  <c r="A37" i="1"/>
  <c r="A34" i="1"/>
  <c r="E17" i="1"/>
  <c r="K2" i="1"/>
  <c r="K3" i="1"/>
  <c r="K4" i="1"/>
  <c r="E16" i="1" s="1"/>
  <c r="K5" i="1"/>
  <c r="K6" i="1"/>
  <c r="K7" i="1"/>
  <c r="K8" i="1"/>
  <c r="K9" i="1"/>
  <c r="K10" i="1"/>
  <c r="K11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15" i="1" l="1"/>
  <c r="E18" i="1"/>
  <c r="A46" i="1"/>
  <c r="E3" i="1"/>
  <c r="E4" i="1"/>
  <c r="E5" i="1"/>
  <c r="E6" i="1"/>
  <c r="E7" i="1"/>
  <c r="E8" i="1"/>
  <c r="E9" i="1"/>
  <c r="E10" i="1"/>
  <c r="E11" i="1"/>
  <c r="E2" i="1"/>
  <c r="H7" i="1" l="1"/>
  <c r="J7" i="1"/>
  <c r="F7" i="1"/>
  <c r="H6" i="1"/>
  <c r="J6" i="1"/>
  <c r="F6" i="1"/>
  <c r="J11" i="1"/>
  <c r="F11" i="1"/>
  <c r="H11" i="1"/>
  <c r="J5" i="1"/>
  <c r="H5" i="1"/>
  <c r="F5" i="1"/>
  <c r="J2" i="1"/>
  <c r="F2" i="1"/>
  <c r="H2" i="1"/>
  <c r="F9" i="1"/>
  <c r="H9" i="1"/>
  <c r="J9" i="1"/>
  <c r="J4" i="1"/>
  <c r="F4" i="1"/>
  <c r="H4" i="1"/>
  <c r="H10" i="1"/>
  <c r="F10" i="1"/>
  <c r="J10" i="1"/>
  <c r="H8" i="1"/>
  <c r="J8" i="1"/>
  <c r="F8" i="1"/>
  <c r="H3" i="1"/>
  <c r="F3" i="1"/>
  <c r="J3" i="1"/>
</calcChain>
</file>

<file path=xl/sharedStrings.xml><?xml version="1.0" encoding="utf-8"?>
<sst xmlns="http://schemas.openxmlformats.org/spreadsheetml/2006/main" count="40" uniqueCount="40">
  <si>
    <t>Aluno</t>
  </si>
  <si>
    <t>Recuperação</t>
  </si>
  <si>
    <t>Frequência</t>
  </si>
  <si>
    <t>Amanda</t>
  </si>
  <si>
    <t>Bianca</t>
  </si>
  <si>
    <t>Carlos</t>
  </si>
  <si>
    <t>Danilo</t>
  </si>
  <si>
    <t>Erika</t>
  </si>
  <si>
    <t>Fernanda</t>
  </si>
  <si>
    <t>Gabriel</t>
  </si>
  <si>
    <t>Helena</t>
  </si>
  <si>
    <t>Isak</t>
  </si>
  <si>
    <t>Jessica</t>
  </si>
  <si>
    <t>Resultado 1 maior nota</t>
  </si>
  <si>
    <t>Resultado 2 aprovado se R1 &gt;= 6</t>
  </si>
  <si>
    <t>Resultado 3 aprovado se Prova ou Rec &gt;=6</t>
  </si>
  <si>
    <t>Resultado 4 aprovado se R1 &gt;=6 e freq &gt;=75%</t>
  </si>
  <si>
    <t>Resultado 5 aprovado se frq &gt;=75% e prova ou rec &gt;=6</t>
  </si>
  <si>
    <t>Resultado 6               se R1 &gt;=9 MB          se R1 &gt;=7 B              se R1 &gt;=5 R senão I</t>
  </si>
  <si>
    <t xml:space="preserve">Resultado 7: se freq &gt;= 75% e prova ou rec &gt;=9 MB, se freq &gt;= 75% e prova ou rec &gt;=7 B, se freq &gt;= 75% e prova ou rec &gt;=5 R, senão I </t>
  </si>
  <si>
    <t>Prova</t>
  </si>
  <si>
    <t>Menção</t>
  </si>
  <si>
    <t>MB</t>
  </si>
  <si>
    <t>B</t>
  </si>
  <si>
    <t>R</t>
  </si>
  <si>
    <t>I</t>
  </si>
  <si>
    <t>Quantidade</t>
  </si>
  <si>
    <t>Gabrielly ds</t>
  </si>
  <si>
    <t>1 qual foi a maior nota?</t>
  </si>
  <si>
    <t>2 QUAL A MENOR NOTA?</t>
  </si>
  <si>
    <t>3 QUAL A MAIOR FREQUÊNCIA?</t>
  </si>
  <si>
    <t>4 QUAL A MENOS FREQUÊNCIA?</t>
  </si>
  <si>
    <t>5 QUAL A MÉDIA DE FREQUÊNCIA DOS ALUNOS COM I?</t>
  </si>
  <si>
    <t>6 QUAL A MÉDIA DAS NOTAS DE PROVA DOS ALUNO COM B OU MB</t>
  </si>
  <si>
    <t>7 QUAL A FRÊQUENCIA DA ALUNA HELENA?</t>
  </si>
  <si>
    <t>8 QUAL A MENÇÃO FINAL DA ALUNA AMANDA?</t>
  </si>
  <si>
    <t>9 QUAL A NOTA DE RECUPERAÇÃO DA ALUNA JESSICA?</t>
  </si>
  <si>
    <t>10 QUANTOS ALUNOS TEM NOTA DE PROVA MAIOR OU IGUAL A 7?</t>
  </si>
  <si>
    <t>11 QUANTOS ALUNOS TEM FREQUÊNCIA MAIOR OU IGUAL A 80%?</t>
  </si>
  <si>
    <t>12 QUAL APORCENTAGEM DE APROVADOS NO RESULTADO 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</si>
</sst>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9" fontId="0" fillId="0" borderId="1" xfId="1" applyFont="1" applyBorder="1"/>
    <xf numFmtId="0" fontId="0" fillId="2" borderId="1" xfId="0" applyFill="1" applyBorder="1" applyAlignment="1">
      <alignment vertical="center" wrapText="1"/>
    </xf>
    <xf numFmtId="0" fontId="0" fillId="0" borderId="1" xfId="1" applyNumberFormat="1" applyFont="1" applyBorder="1"/>
    <xf numFmtId="0" fontId="0" fillId="0" borderId="0" xfId="0" applyAlignment="1">
      <alignment horizontal="left" inden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/>
    <xf numFmtId="9" fontId="0" fillId="0" borderId="0" xfId="1" applyFont="1" applyAlignment="1">
      <alignment wrapText="1"/>
    </xf>
    <xf numFmtId="9" fontId="0" fillId="0" borderId="0" xfId="1" applyFont="1"/>
  </cellXfs>
  <cellStyles count="2">
    <cellStyle name="Normal" xfId="0" builtinId="0"/>
    <cellStyle name="Porcentagem" xfId="1" builtinId="5"/>
  </cellStyles>
  <dxfs count="8">
    <dxf>
      <font>
        <color theme="3" tint="0.499984740745262"/>
      </font>
    </dxf>
    <dxf>
      <font>
        <color theme="9"/>
      </font>
    </dxf>
    <dxf>
      <font>
        <color rgb="FFFFC000"/>
      </font>
    </dxf>
    <dxf>
      <font>
        <color rgb="FFFF0000"/>
      </font>
    </dxf>
    <dxf>
      <font>
        <color rgb="FFC00000"/>
      </font>
    </dxf>
    <dxf>
      <font>
        <color theme="9" tint="-0.24994659260841701"/>
      </font>
    </dxf>
    <dxf>
      <font>
        <color theme="9"/>
      </font>
    </dxf>
    <dxf>
      <font>
        <color theme="3" tint="0.499984740745262"/>
      </font>
    </dxf>
  </dxfs>
  <tableStyles count="0" defaultTableStyle="TableStyleMedium2" defaultPivotStyle="PivotStyleLight16"/>
  <colors>
    <mruColors>
      <color rgb="FFEB99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Menção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24693301775997"/>
          <c:y val="0.25427946655654932"/>
          <c:w val="0.81388888888888888"/>
          <c:h val="0.5747947652376785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25400">
                <a:solidFill>
                  <a:srgbClr val="00B0F0"/>
                </a:solidFill>
              </a:ln>
              <a:effectLst/>
              <a:sp3d contourW="25400">
                <a:contourClr>
                  <a:srgbClr val="00B0F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10D-45BA-B978-787308EB6D4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accent6"/>
                </a:solidFill>
              </a:ln>
              <a:effectLst/>
              <a:sp3d contourW="25400">
                <a:contourClr>
                  <a:schemeClr val="accent6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0D-45BA-B978-787308EB6D4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25400">
                <a:solidFill>
                  <a:srgbClr val="FFC000"/>
                </a:solidFill>
              </a:ln>
              <a:effectLst/>
              <a:sp3d contourW="25400">
                <a:contourClr>
                  <a:srgbClr val="FFC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10D-45BA-B978-787308EB6D4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  <a:sp3d contourW="25400"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0D-45BA-B978-787308EB6D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Planilha1!$D$15:$D$18</c:f>
              <c:strCache>
                <c:ptCount val="4"/>
                <c:pt idx="0">
                  <c:v>MB</c:v>
                </c:pt>
                <c:pt idx="1">
                  <c:v>B</c:v>
                </c:pt>
                <c:pt idx="2">
                  <c:v>R</c:v>
                </c:pt>
                <c:pt idx="3">
                  <c:v>I</c:v>
                </c:pt>
              </c:strCache>
            </c:strRef>
          </c:cat>
          <c:val>
            <c:numRef>
              <c:f>Planilha1!$E$15:$E$18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D-45BA-B978-787308EB6D4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Mençâo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Planilha1!$E$14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  <a:sp3d>
              <a:contourClr>
                <a:schemeClr val="accent1">
                  <a:lumMod val="20000"/>
                  <a:lumOff val="80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  <a:sp3d>
                <a:contourClr>
                  <a:schemeClr val="accent1">
                    <a:lumMod val="20000"/>
                    <a:lumOff val="8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96-4684-8F1E-BFC573DD236C}"/>
              </c:ext>
            </c:extLst>
          </c:dPt>
          <c:dPt>
            <c:idx val="2"/>
            <c:invertIfNegative val="0"/>
            <c:bubble3D val="0"/>
            <c:spPr>
              <a:solidFill>
                <a:srgbClr val="EB9915"/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  <a:sp3d>
                <a:contourClr>
                  <a:schemeClr val="accent1">
                    <a:lumMod val="20000"/>
                    <a:lumOff val="8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196-4684-8F1E-BFC573DD236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  <a:sp3d>
                <a:contourClr>
                  <a:schemeClr val="accent1">
                    <a:lumMod val="20000"/>
                    <a:lumOff val="8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96-4684-8F1E-BFC573DD236C}"/>
              </c:ext>
            </c:extLst>
          </c:dPt>
          <c:cat>
            <c:strRef>
              <c:f>Planilha1!$D$15:$D$18</c:f>
              <c:strCache>
                <c:ptCount val="4"/>
                <c:pt idx="0">
                  <c:v>MB</c:v>
                </c:pt>
                <c:pt idx="1">
                  <c:v>B</c:v>
                </c:pt>
                <c:pt idx="2">
                  <c:v>R</c:v>
                </c:pt>
                <c:pt idx="3">
                  <c:v>I</c:v>
                </c:pt>
              </c:strCache>
            </c:strRef>
          </c:cat>
          <c:val>
            <c:numRef>
              <c:f>Planilha1!$E$15:$E$18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6-4684-8F1E-BFC573DD2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8733855"/>
        <c:axId val="926535743"/>
        <c:axId val="0"/>
      </c:bar3DChart>
      <c:catAx>
        <c:axId val="948733855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926535743"/>
        <c:crosses val="autoZero"/>
        <c:auto val="1"/>
        <c:lblAlgn val="ctr"/>
        <c:lblOffset val="100"/>
        <c:noMultiLvlLbl val="0"/>
      </c:catAx>
      <c:valAx>
        <c:axId val="9265357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94873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13</xdr:row>
      <xdr:rowOff>148166</xdr:rowOff>
    </xdr:from>
    <xdr:to>
      <xdr:col>9</xdr:col>
      <xdr:colOff>220133</xdr:colOff>
      <xdr:row>28</xdr:row>
      <xdr:rowOff>97366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1554CB-58DB-4884-BF73-AAD359532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372533</xdr:colOff>
      <xdr:row>13</xdr:row>
      <xdr:rowOff>156633</xdr:rowOff>
    </xdr:from>
    <xdr:to>
      <xdr:col>13</xdr:col>
      <xdr:colOff>592667</xdr:colOff>
      <xdr:row>28</xdr:row>
      <xdr:rowOff>105833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1268AE8-A21D-480F-9D92-F994DD014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0327-4D4F-46E4-99EB-FEE95EBE5CB1}">
  <dimension ref="A1:AA67"/>
  <sheetViews>
    <sheetView tabSelected="1" topLeftCell="A39" zoomScale="120" zoomScaleNormal="120" workbookViewId="0">
      <selection activeCell="A68" sqref="A68"/>
    </sheetView>
  </sheetViews>
  <sheetFormatPr defaultRowHeight="15" x14ac:dyDescent="0.25"/>
  <cols>
    <col min="2" max="2" width="9.5703125" customWidth="1"/>
    <col min="3" max="3" width="12.28515625" customWidth="1"/>
    <col min="4" max="4" width="10.140625" bestFit="1" customWidth="1"/>
    <col min="5" max="5" width="10.5703125" bestFit="1" customWidth="1"/>
    <col min="6" max="6" width="14.28515625" customWidth="1"/>
    <col min="7" max="7" width="15.42578125" customWidth="1"/>
    <col min="8" max="8" width="16" customWidth="1"/>
    <col min="9" max="9" width="20.7109375" customWidth="1"/>
    <col min="10" max="10" width="16.28515625" customWidth="1"/>
    <col min="11" max="11" width="29.28515625" customWidth="1"/>
    <col min="12" max="12" width="32.7109375" customWidth="1"/>
  </cols>
  <sheetData>
    <row r="1" spans="1:12" ht="60" customHeight="1" x14ac:dyDescent="0.4">
      <c r="A1" s="3" t="s">
        <v>0</v>
      </c>
      <c r="B1" s="3" t="s">
        <v>20</v>
      </c>
      <c r="C1" s="3" t="s">
        <v>1</v>
      </c>
      <c r="D1" s="3" t="s">
        <v>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6" t="s">
        <v>27</v>
      </c>
    </row>
    <row r="2" spans="1:12" x14ac:dyDescent="0.25">
      <c r="A2" s="1" t="s">
        <v>3</v>
      </c>
      <c r="B2" s="1">
        <v>10</v>
      </c>
      <c r="C2" s="1"/>
      <c r="D2" s="2">
        <v>1</v>
      </c>
      <c r="E2" s="4">
        <f>IF(B2&gt;C2,B2,C2)</f>
        <v>10</v>
      </c>
      <c r="F2" s="1" t="str">
        <f>IF(E2&gt;=6,"Aprovado","Reprovado")</f>
        <v>Aprovado</v>
      </c>
      <c r="G2" s="1" t="str">
        <f>IF(OR(B2&gt;=6,C2=6),"Aprovado","Reprovado")</f>
        <v>Aprovado</v>
      </c>
      <c r="H2" s="1" t="str">
        <f>IF(AND(E2&gt;=6,D2&gt;=75%),"Aprovado","Reprovado")</f>
        <v>Aprovado</v>
      </c>
      <c r="I2" s="1" t="str">
        <f>IF(AND(D2&gt;=75%,OR(B2&gt;=6,C2&gt;=6)),"Aprovado","Reprovado")</f>
        <v>Aprovado</v>
      </c>
      <c r="J2" s="1" t="str">
        <f>IF(E2&gt;=9,"MB",IF(E2&gt;=7,"B",IF(E2&gt;=5,"R","I")))</f>
        <v>MB</v>
      </c>
      <c r="K2" s="1" t="str">
        <f>IF(AND(D2&gt;=75%,OR(B2&gt;=9,C2&gt;=9)),"MB",IF(AND(D2&gt;=75%,OR(B2&gt;=7,C2&gt;=7)),"B",IF(AND(D2&gt;=75%,OR(B2&gt;=5,C2&gt;=5)),"R","I")))</f>
        <v>MB</v>
      </c>
    </row>
    <row r="3" spans="1:12" x14ac:dyDescent="0.25">
      <c r="A3" s="1" t="s">
        <v>4</v>
      </c>
      <c r="B3" s="1">
        <v>9</v>
      </c>
      <c r="C3" s="1"/>
      <c r="D3" s="2">
        <v>0.9</v>
      </c>
      <c r="E3" s="4">
        <f t="shared" ref="E3:E11" si="0">IF(B3&gt;C3,B3,C3)</f>
        <v>9</v>
      </c>
      <c r="F3" s="1" t="str">
        <f>IF(E3&gt;=6,"Aprovado","Reprovado")</f>
        <v>Aprovado</v>
      </c>
      <c r="G3" s="1" t="str">
        <f t="shared" ref="G3:G11" si="1">IF(OR(B3&gt;=6,C3=6),"Aprovado","Reprovado")</f>
        <v>Aprovado</v>
      </c>
      <c r="H3" s="1" t="str">
        <f t="shared" ref="H3:H11" si="2">IF(AND(E3&gt;=6,D3&gt;=75%),"Aprovado","Reprovado")</f>
        <v>Aprovado</v>
      </c>
      <c r="I3" s="1" t="str">
        <f t="shared" ref="I3:I11" si="3">IF(AND(D3&gt;=75%,OR(B3&gt;=6,C3&gt;=6)),"Aprovado","Reprovado")</f>
        <v>Aprovado</v>
      </c>
      <c r="J3" s="1" t="str">
        <f t="shared" ref="J3:J11" si="4">IF(E3&gt;=9,"MB",IF(E3&gt;=7,"B",IF(E3&gt;=5,"R","I")))</f>
        <v>MB</v>
      </c>
      <c r="K3" s="1" t="str">
        <f t="shared" ref="K3:K11" si="5">IF(AND(D3&gt;=75%,OR(B3&gt;=9,C3&gt;=9)),"MB",IF(AND(D3&gt;=75%,OR(B3&gt;=7,C3&gt;=7)),"B",IF(AND(D3&gt;=75%,OR(B3&gt;=5,C3&gt;=5)),"R","I")))</f>
        <v>MB</v>
      </c>
    </row>
    <row r="4" spans="1:12" x14ac:dyDescent="0.25">
      <c r="A4" s="1" t="s">
        <v>5</v>
      </c>
      <c r="B4" s="1">
        <v>8</v>
      </c>
      <c r="C4" s="1"/>
      <c r="D4" s="2">
        <v>0.8</v>
      </c>
      <c r="E4" s="4">
        <f t="shared" si="0"/>
        <v>8</v>
      </c>
      <c r="F4" s="1" t="str">
        <f t="shared" ref="F4:F11" si="6">IF(E4&gt;=6,"Aprovado","Reprovado")</f>
        <v>Aprovado</v>
      </c>
      <c r="G4" s="1" t="str">
        <f t="shared" si="1"/>
        <v>Aprovado</v>
      </c>
      <c r="H4" s="1" t="str">
        <f t="shared" si="2"/>
        <v>Aprovado</v>
      </c>
      <c r="I4" s="1" t="str">
        <f t="shared" si="3"/>
        <v>Aprovado</v>
      </c>
      <c r="J4" s="1" t="str">
        <f t="shared" si="4"/>
        <v>B</v>
      </c>
      <c r="K4" s="1" t="str">
        <f t="shared" si="5"/>
        <v>B</v>
      </c>
    </row>
    <row r="5" spans="1:12" x14ac:dyDescent="0.25">
      <c r="A5" s="1" t="s">
        <v>6</v>
      </c>
      <c r="B5" s="1">
        <v>7</v>
      </c>
      <c r="C5" s="1"/>
      <c r="D5" s="2">
        <v>0.7</v>
      </c>
      <c r="E5" s="4">
        <f t="shared" si="0"/>
        <v>7</v>
      </c>
      <c r="F5" s="1" t="str">
        <f t="shared" si="6"/>
        <v>Aprovado</v>
      </c>
      <c r="G5" s="1" t="str">
        <f t="shared" si="1"/>
        <v>Aprovado</v>
      </c>
      <c r="H5" s="1" t="str">
        <f t="shared" si="2"/>
        <v>Reprovado</v>
      </c>
      <c r="I5" s="1" t="str">
        <f t="shared" si="3"/>
        <v>Reprovado</v>
      </c>
      <c r="J5" s="1" t="str">
        <f t="shared" si="4"/>
        <v>B</v>
      </c>
      <c r="K5" s="1" t="str">
        <f t="shared" si="5"/>
        <v>I</v>
      </c>
    </row>
    <row r="6" spans="1:12" x14ac:dyDescent="0.25">
      <c r="A6" s="1" t="s">
        <v>7</v>
      </c>
      <c r="B6" s="1">
        <v>6</v>
      </c>
      <c r="C6" s="1">
        <v>8</v>
      </c>
      <c r="D6" s="2">
        <v>0.65</v>
      </c>
      <c r="E6" s="4">
        <f t="shared" si="0"/>
        <v>8</v>
      </c>
      <c r="F6" s="1" t="str">
        <f t="shared" si="6"/>
        <v>Aprovado</v>
      </c>
      <c r="G6" s="1" t="str">
        <f t="shared" si="1"/>
        <v>Aprovado</v>
      </c>
      <c r="H6" s="1" t="str">
        <f t="shared" si="2"/>
        <v>Reprovado</v>
      </c>
      <c r="I6" s="1" t="str">
        <f t="shared" si="3"/>
        <v>Reprovado</v>
      </c>
      <c r="J6" s="1" t="str">
        <f t="shared" si="4"/>
        <v>B</v>
      </c>
      <c r="K6" s="1" t="str">
        <f t="shared" si="5"/>
        <v>I</v>
      </c>
    </row>
    <row r="7" spans="1:12" x14ac:dyDescent="0.25">
      <c r="A7" s="1" t="s">
        <v>8</v>
      </c>
      <c r="B7" s="1">
        <v>5</v>
      </c>
      <c r="C7" s="1">
        <v>4</v>
      </c>
      <c r="D7" s="2">
        <v>0.8</v>
      </c>
      <c r="E7" s="4">
        <f t="shared" si="0"/>
        <v>5</v>
      </c>
      <c r="F7" s="1" t="str">
        <f t="shared" si="6"/>
        <v>Reprovado</v>
      </c>
      <c r="G7" s="1" t="str">
        <f t="shared" si="1"/>
        <v>Reprovado</v>
      </c>
      <c r="H7" s="1" t="str">
        <f t="shared" si="2"/>
        <v>Reprovado</v>
      </c>
      <c r="I7" s="1" t="str">
        <f t="shared" si="3"/>
        <v>Reprovado</v>
      </c>
      <c r="J7" s="1" t="str">
        <f t="shared" si="4"/>
        <v>R</v>
      </c>
      <c r="K7" s="1" t="str">
        <f t="shared" si="5"/>
        <v>R</v>
      </c>
    </row>
    <row r="8" spans="1:12" x14ac:dyDescent="0.25">
      <c r="A8" s="1" t="s">
        <v>9</v>
      </c>
      <c r="B8" s="1">
        <v>4</v>
      </c>
      <c r="C8" s="1">
        <v>4</v>
      </c>
      <c r="D8" s="2">
        <v>0.9</v>
      </c>
      <c r="E8" s="4">
        <f t="shared" si="0"/>
        <v>4</v>
      </c>
      <c r="F8" s="1" t="str">
        <f t="shared" si="6"/>
        <v>Reprovado</v>
      </c>
      <c r="G8" s="1" t="str">
        <f t="shared" si="1"/>
        <v>Reprovado</v>
      </c>
      <c r="H8" s="1" t="str">
        <f t="shared" si="2"/>
        <v>Reprovado</v>
      </c>
      <c r="I8" s="1" t="str">
        <f t="shared" si="3"/>
        <v>Reprovado</v>
      </c>
      <c r="J8" s="1" t="str">
        <f t="shared" si="4"/>
        <v>I</v>
      </c>
      <c r="K8" s="1" t="str">
        <f t="shared" si="5"/>
        <v>I</v>
      </c>
    </row>
    <row r="9" spans="1:12" x14ac:dyDescent="0.25">
      <c r="A9" s="1" t="s">
        <v>10</v>
      </c>
      <c r="B9" s="1">
        <v>8</v>
      </c>
      <c r="C9" s="1"/>
      <c r="D9" s="2">
        <v>0.95</v>
      </c>
      <c r="E9" s="4">
        <f t="shared" si="0"/>
        <v>8</v>
      </c>
      <c r="F9" s="1" t="str">
        <f t="shared" si="6"/>
        <v>Aprovado</v>
      </c>
      <c r="G9" s="1" t="str">
        <f t="shared" si="1"/>
        <v>Aprovado</v>
      </c>
      <c r="H9" s="1" t="str">
        <f t="shared" si="2"/>
        <v>Aprovado</v>
      </c>
      <c r="I9" s="1" t="str">
        <f t="shared" si="3"/>
        <v>Aprovado</v>
      </c>
      <c r="J9" s="1" t="str">
        <f t="shared" si="4"/>
        <v>B</v>
      </c>
      <c r="K9" s="1" t="str">
        <f t="shared" si="5"/>
        <v>B</v>
      </c>
    </row>
    <row r="10" spans="1:12" x14ac:dyDescent="0.25">
      <c r="A10" s="1" t="s">
        <v>11</v>
      </c>
      <c r="B10" s="1">
        <v>3</v>
      </c>
      <c r="C10" s="1">
        <v>2</v>
      </c>
      <c r="D10" s="2">
        <v>0.8</v>
      </c>
      <c r="E10" s="4">
        <f t="shared" si="0"/>
        <v>3</v>
      </c>
      <c r="F10" s="1" t="str">
        <f t="shared" si="6"/>
        <v>Reprovado</v>
      </c>
      <c r="G10" s="1" t="str">
        <f t="shared" si="1"/>
        <v>Reprovado</v>
      </c>
      <c r="H10" s="1" t="str">
        <f t="shared" si="2"/>
        <v>Reprovado</v>
      </c>
      <c r="I10" s="1" t="str">
        <f t="shared" si="3"/>
        <v>Reprovado</v>
      </c>
      <c r="J10" s="1" t="str">
        <f t="shared" si="4"/>
        <v>I</v>
      </c>
      <c r="K10" s="1" t="str">
        <f t="shared" si="5"/>
        <v>I</v>
      </c>
    </row>
    <row r="11" spans="1:12" x14ac:dyDescent="0.25">
      <c r="A11" s="1" t="s">
        <v>12</v>
      </c>
      <c r="B11" s="1">
        <v>2</v>
      </c>
      <c r="C11" s="1">
        <v>6</v>
      </c>
      <c r="D11" s="2">
        <v>0.8</v>
      </c>
      <c r="E11" s="4">
        <f t="shared" si="0"/>
        <v>6</v>
      </c>
      <c r="F11" s="1" t="str">
        <f t="shared" si="6"/>
        <v>Aprovado</v>
      </c>
      <c r="G11" s="1" t="str">
        <f t="shared" si="1"/>
        <v>Aprovado</v>
      </c>
      <c r="H11" s="1" t="str">
        <f t="shared" si="2"/>
        <v>Aprovado</v>
      </c>
      <c r="I11" s="1" t="str">
        <f t="shared" si="3"/>
        <v>Aprovado</v>
      </c>
      <c r="J11" s="1" t="str">
        <f t="shared" si="4"/>
        <v>R</v>
      </c>
      <c r="K11" s="1" t="str">
        <f t="shared" si="5"/>
        <v>R</v>
      </c>
    </row>
    <row r="14" spans="1:12" x14ac:dyDescent="0.25">
      <c r="D14" t="s">
        <v>21</v>
      </c>
      <c r="E14" t="s">
        <v>26</v>
      </c>
    </row>
    <row r="15" spans="1:12" x14ac:dyDescent="0.25">
      <c r="D15" t="s">
        <v>22</v>
      </c>
      <c r="E15">
        <f>COUNTIF(K$2:K$11,D15)</f>
        <v>2</v>
      </c>
    </row>
    <row r="16" spans="1:12" x14ac:dyDescent="0.25">
      <c r="D16" t="s">
        <v>23</v>
      </c>
      <c r="E16">
        <f t="shared" ref="E16:E17" si="7">COUNTIF(K$2:K$11,D16)</f>
        <v>2</v>
      </c>
    </row>
    <row r="17" spans="4:10" x14ac:dyDescent="0.25">
      <c r="D17" t="s">
        <v>24</v>
      </c>
      <c r="E17">
        <f t="shared" si="7"/>
        <v>2</v>
      </c>
    </row>
    <row r="18" spans="4:10" x14ac:dyDescent="0.25">
      <c r="D18" t="s">
        <v>25</v>
      </c>
      <c r="E18">
        <f>COUNTIF(K$2:K$11,D18)</f>
        <v>4</v>
      </c>
    </row>
    <row r="31" spans="4:10" x14ac:dyDescent="0.25">
      <c r="H31" s="5"/>
      <c r="I31" s="5"/>
      <c r="J31" s="5"/>
    </row>
    <row r="32" spans="4:10" x14ac:dyDescent="0.25">
      <c r="H32" s="5"/>
      <c r="I32" s="5"/>
      <c r="J32" s="5"/>
    </row>
    <row r="33" spans="1:5" x14ac:dyDescent="0.25">
      <c r="A33" s="9" t="s">
        <v>28</v>
      </c>
      <c r="B33" s="9"/>
      <c r="C33" s="9"/>
      <c r="D33" s="9"/>
    </row>
    <row r="34" spans="1:5" x14ac:dyDescent="0.25">
      <c r="A34">
        <f>LARGE(B2:C11,1)</f>
        <v>10</v>
      </c>
    </row>
    <row r="36" spans="1:5" x14ac:dyDescent="0.25">
      <c r="A36" s="10" t="s">
        <v>29</v>
      </c>
      <c r="B36" s="10"/>
      <c r="C36" s="10"/>
      <c r="D36" s="10"/>
    </row>
    <row r="37" spans="1:5" x14ac:dyDescent="0.25">
      <c r="A37">
        <f>SMALL(B2:C11,1)</f>
        <v>2</v>
      </c>
    </row>
    <row r="39" spans="1:5" x14ac:dyDescent="0.25">
      <c r="A39" s="8" t="s">
        <v>30</v>
      </c>
      <c r="B39" s="8"/>
      <c r="C39" s="8"/>
    </row>
    <row r="40" spans="1:5" x14ac:dyDescent="0.25">
      <c r="A40" s="11">
        <f>MAX(D2:D11)</f>
        <v>1</v>
      </c>
    </row>
    <row r="42" spans="1:5" x14ac:dyDescent="0.25">
      <c r="A42" s="8" t="s">
        <v>31</v>
      </c>
      <c r="B42" s="8"/>
      <c r="C42" s="8"/>
    </row>
    <row r="43" spans="1:5" x14ac:dyDescent="0.25">
      <c r="A43" s="11">
        <f>MIN(D2:D11)</f>
        <v>0.65</v>
      </c>
    </row>
    <row r="45" spans="1:5" x14ac:dyDescent="0.25">
      <c r="A45" s="12" t="s">
        <v>32</v>
      </c>
      <c r="B45" s="12"/>
      <c r="C45" s="12"/>
    </row>
    <row r="46" spans="1:5" x14ac:dyDescent="0.25">
      <c r="A46" s="11">
        <f>AVERAGEIF(K2:K11,"I",D2:D11)</f>
        <v>0.76249999999999996</v>
      </c>
    </row>
    <row r="48" spans="1:5" x14ac:dyDescent="0.25">
      <c r="A48" s="12" t="s">
        <v>33</v>
      </c>
      <c r="B48" s="12"/>
      <c r="C48" s="12"/>
      <c r="D48" s="12"/>
      <c r="E48" s="12"/>
    </row>
    <row r="49" spans="1:27" x14ac:dyDescent="0.25">
      <c r="A49">
        <f>SUMIF(K2:K11,"MB",B2:B11)+SUMIF(K2:K11,"B",B2:B11)/(COUNTIF(K2:K11,"MB")+COUNTIF(K2:K11,"B"))</f>
        <v>23</v>
      </c>
    </row>
    <row r="51" spans="1:27" x14ac:dyDescent="0.25">
      <c r="A51" s="10" t="s">
        <v>34</v>
      </c>
      <c r="B51" s="10"/>
      <c r="C51" s="10"/>
      <c r="D51" s="10"/>
      <c r="E51" s="10"/>
      <c r="F51" s="10"/>
    </row>
    <row r="52" spans="1:27" x14ac:dyDescent="0.25">
      <c r="A52" s="13">
        <f>VLOOKUP("HELENA",A1:K11,4,FALSE)</f>
        <v>0.95</v>
      </c>
    </row>
    <row r="54" spans="1:27" x14ac:dyDescent="0.25">
      <c r="A54" s="10" t="s">
        <v>35</v>
      </c>
      <c r="B54" s="10"/>
      <c r="C54" s="10"/>
      <c r="D54" s="10"/>
      <c r="E54" s="10"/>
    </row>
    <row r="55" spans="1:27" x14ac:dyDescent="0.25">
      <c r="A55" s="7" t="str">
        <f>VLOOKUP("AMANDA",A1:K11,11,FALSE)</f>
        <v>MB</v>
      </c>
    </row>
    <row r="57" spans="1:27" x14ac:dyDescent="0.25">
      <c r="A57" s="10" t="s">
        <v>36</v>
      </c>
      <c r="B57" s="10"/>
      <c r="C57" s="10"/>
      <c r="D57" s="10"/>
      <c r="E57" s="10"/>
      <c r="F57" s="10"/>
    </row>
    <row r="58" spans="1:27" x14ac:dyDescent="0.25">
      <c r="A58">
        <f>VLOOKUP("JESSICA",A1:K11,3,FALSE)</f>
        <v>6</v>
      </c>
    </row>
    <row r="60" spans="1:27" x14ac:dyDescent="0.25">
      <c r="A60" s="12" t="s">
        <v>37</v>
      </c>
      <c r="B60" s="12"/>
      <c r="C60" s="12"/>
      <c r="D60" s="12"/>
      <c r="E60" s="12"/>
    </row>
    <row r="61" spans="1:27" x14ac:dyDescent="0.25">
      <c r="A61">
        <f>COUNTIF(B1:B11,"&gt;=7")</f>
        <v>5</v>
      </c>
    </row>
    <row r="62" spans="1:2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5">
      <c r="A63" s="10" t="s">
        <v>38</v>
      </c>
      <c r="B63" s="10"/>
      <c r="C63" s="10"/>
      <c r="D63" s="10"/>
      <c r="E63" s="10"/>
      <c r="F63" s="10"/>
    </row>
    <row r="64" spans="1:27" x14ac:dyDescent="0.25">
      <c r="A64">
        <f>COUNTIF(D1:D11,"&gt;=80%")</f>
        <v>8</v>
      </c>
    </row>
    <row r="66" spans="1:6" x14ac:dyDescent="0.25">
      <c r="A66" s="10" t="s">
        <v>39</v>
      </c>
      <c r="B66" s="10"/>
      <c r="C66" s="10"/>
      <c r="D66" s="10"/>
      <c r="E66" s="10"/>
      <c r="F66" s="10"/>
    </row>
    <row r="67" spans="1:6" x14ac:dyDescent="0.25">
      <c r="A67" s="14">
        <f>COUNTIF(I2:I11,"APROVADO")/COUNTA(I2:I11)</f>
        <v>0.5</v>
      </c>
    </row>
  </sheetData>
  <mergeCells count="10">
    <mergeCell ref="A51:F51"/>
    <mergeCell ref="A54:E54"/>
    <mergeCell ref="A57:F57"/>
    <mergeCell ref="A63:F63"/>
    <mergeCell ref="A66:F66"/>
    <mergeCell ref="A62:AA62"/>
    <mergeCell ref="A33:D33"/>
    <mergeCell ref="A36:D36"/>
    <mergeCell ref="A39:C39"/>
    <mergeCell ref="A42:C42"/>
  </mergeCells>
  <phoneticPr fontId="2" type="noConversion"/>
  <conditionalFormatting sqref="B2:E11">
    <cfRule type="cellIs" dxfId="7" priority="2" operator="equal">
      <formula>"10 e 9"</formula>
    </cfRule>
  </conditionalFormatting>
  <conditionalFormatting sqref="F2:I11">
    <cfRule type="cellIs" dxfId="6" priority="1" operator="equal">
      <formula>"Aprovado"</formula>
    </cfRule>
  </conditionalFormatting>
  <conditionalFormatting sqref="F3:I11">
    <cfRule type="cellIs" dxfId="5" priority="11" operator="equal">
      <formula>"Aprovado"</formula>
    </cfRule>
    <cfRule type="cellIs" priority="12" operator="equal">
      <formula>"Aprovado"</formula>
    </cfRule>
    <cfRule type="cellIs" dxfId="4" priority="13" operator="equal">
      <formula>"Reprovado"</formula>
    </cfRule>
  </conditionalFormatting>
  <conditionalFormatting sqref="J3:K11">
    <cfRule type="cellIs" dxfId="3" priority="3" operator="equal">
      <formula>"I"</formula>
    </cfRule>
    <cfRule type="cellIs" priority="4" operator="equal">
      <formula>"I"</formula>
    </cfRule>
    <cfRule type="cellIs" dxfId="2" priority="5" operator="equal">
      <formula>"R"</formula>
    </cfRule>
    <cfRule type="cellIs" priority="6" operator="equal">
      <formula>"R"</formula>
    </cfRule>
    <cfRule type="cellIs" dxfId="1" priority="7" operator="equal">
      <formula>"B"</formula>
    </cfRule>
    <cfRule type="cellIs" dxfId="0" priority="9" operator="equal">
      <formula>"MB"</formula>
    </cfRule>
    <cfRule type="cellIs" priority="10" operator="equal">
      <formula>"MB"</formula>
    </cfRule>
  </conditionalFormatting>
  <conditionalFormatting sqref="J4:K11">
    <cfRule type="cellIs" priority="8" operator="equal">
      <formula>"B"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lab03pc01</dc:creator>
  <cp:lastModifiedBy>lab03pc01</cp:lastModifiedBy>
  <dcterms:created xsi:type="dcterms:W3CDTF">2026-09-15T22:18:07Z</dcterms:created>
  <dcterms:modified xsi:type="dcterms:W3CDTF">2026-09-29T00:19:14Z</dcterms:modified>
</cp:coreProperties>
</file>